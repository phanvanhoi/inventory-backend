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ÚY\ĐỀ XUẤT\2025\ĐX KHÁC\"/>
    </mc:Choice>
  </mc:AlternateContent>
  <xr:revisionPtr revIDLastSave="0" documentId="13_ncr:1_{F6F54692-5D06-48FE-9AF8-5728CBD16F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6" r:id="rId1"/>
    <sheet name="Sheet2" sheetId="2" r:id="rId2"/>
    <sheet name="Sheet3" sheetId="3" r:id="rId3"/>
  </sheets>
  <definedNames>
    <definedName name="_xlnm._FilterDatabase" localSheetId="0" hidden="1">Sheet1!$A$8:$AB$17</definedName>
    <definedName name="_xlnm.Print_Area" localSheetId="0">Sheet1!$A$1:$AB$56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4" i="6" l="1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AA53" i="6"/>
  <c r="AB53" i="6" s="1"/>
  <c r="AA52" i="6"/>
  <c r="AB52" i="6" s="1"/>
  <c r="AA51" i="6"/>
  <c r="AB51" i="6" s="1"/>
  <c r="AB54" i="6" l="1"/>
  <c r="AA54" i="6"/>
  <c r="Z46" i="6" l="1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AA45" i="6"/>
  <c r="AB45" i="6" s="1"/>
  <c r="AA44" i="6"/>
  <c r="AB44" i="6" s="1"/>
  <c r="AA43" i="6"/>
  <c r="AB43" i="6" s="1"/>
  <c r="AA42" i="6"/>
  <c r="AB42" i="6" s="1"/>
  <c r="AA41" i="6"/>
  <c r="AB41" i="6" s="1"/>
  <c r="AB46" i="6" s="1"/>
  <c r="AA46" i="6" l="1"/>
  <c r="Z36" i="6" l="1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AA35" i="6"/>
  <c r="AB35" i="6" s="1"/>
  <c r="AA34" i="6"/>
  <c r="AB34" i="6" s="1"/>
  <c r="AA33" i="6"/>
  <c r="AB33" i="6" s="1"/>
  <c r="AA32" i="6"/>
  <c r="AB32" i="6" s="1"/>
  <c r="AA31" i="6"/>
  <c r="AB31" i="6" s="1"/>
  <c r="AB36" i="6" l="1"/>
  <c r="AA36" i="6"/>
  <c r="AA12" i="6" l="1"/>
  <c r="AB12" i="6" s="1"/>
  <c r="AA13" i="6"/>
  <c r="AB13" i="6" s="1"/>
  <c r="AA10" i="6"/>
  <c r="AB10" i="6" s="1"/>
  <c r="AA11" i="6"/>
  <c r="AB11" i="6" s="1"/>
  <c r="AA14" i="6"/>
  <c r="AB14" i="6"/>
  <c r="AA15" i="6"/>
  <c r="AB15" i="6" s="1"/>
  <c r="AA23" i="6"/>
  <c r="AB23" i="6" s="1"/>
  <c r="AA24" i="6"/>
  <c r="AB24" i="6" s="1"/>
  <c r="AA9" i="6"/>
  <c r="AB9" i="6" s="1"/>
  <c r="AA16" i="6"/>
  <c r="AB16" i="6" s="1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 l="1"/>
  <c r="AB17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AA25" i="6"/>
  <c r="AB25" i="6" s="1"/>
  <c r="AA22" i="6"/>
  <c r="AB22" i="6" s="1"/>
  <c r="AA26" i="6" l="1"/>
  <c r="AB26" i="6"/>
</calcChain>
</file>

<file path=xl/sharedStrings.xml><?xml version="1.0" encoding="utf-8"?>
<sst xmlns="http://schemas.openxmlformats.org/spreadsheetml/2006/main" count="251" uniqueCount="43">
  <si>
    <t>STT</t>
  </si>
  <si>
    <t>TỔNG CỘNG</t>
  </si>
  <si>
    <t xml:space="preserve">Người lập </t>
  </si>
  <si>
    <t>Người duyệt</t>
  </si>
  <si>
    <t>Chức danh</t>
  </si>
  <si>
    <t>Đơn vị</t>
  </si>
  <si>
    <t>ĐỀ XUẤT LẤY ÁO SƠ MI SẴN Ở KHO ĐÓNG HÀNG</t>
  </si>
  <si>
    <t>Cộc</t>
  </si>
  <si>
    <t>Dài</t>
  </si>
  <si>
    <t>Size35</t>
  </si>
  <si>
    <t>Size 36</t>
  </si>
  <si>
    <t>Size 37</t>
  </si>
  <si>
    <t>Size 38</t>
  </si>
  <si>
    <t>Size 39</t>
  </si>
  <si>
    <t>Size 40</t>
  </si>
  <si>
    <t>Size 41</t>
  </si>
  <si>
    <t>Size 42</t>
  </si>
  <si>
    <t>Size 43</t>
  </si>
  <si>
    <t>Size 44</t>
  </si>
  <si>
    <t>VP</t>
  </si>
  <si>
    <t>Tổng</t>
  </si>
  <si>
    <t>Kiểu dáng</t>
  </si>
  <si>
    <t>Size 45</t>
  </si>
  <si>
    <t>Slim</t>
  </si>
  <si>
    <t>Slim ngắn</t>
  </si>
  <si>
    <t>Cổ điển ngắn</t>
  </si>
  <si>
    <t>(MÃ KẺ GÂN NAM HLD)</t>
  </si>
  <si>
    <t>(TRẮNG SM MÃ BA0053 - CÓ THÊU VNPT - CỘC TAY THÊU NGỰC - DÀI TAY THÊU MĂNG SÉC)</t>
  </si>
  <si>
    <t>LĐ-VP</t>
  </si>
  <si>
    <t xml:space="preserve">Cổ điển </t>
  </si>
  <si>
    <t>ĐX: 104 - Thúy</t>
  </si>
  <si>
    <t>Ngày đề xuất: 20/11/2025</t>
  </si>
  <si>
    <t>Viễn thông Hồ Chí Minh</t>
  </si>
  <si>
    <t>Technology</t>
  </si>
  <si>
    <t>Công ty Lâm Bình</t>
  </si>
  <si>
    <t>(MÃ BA0053 - CÓ LOGO LỘ TRÍ)</t>
  </si>
  <si>
    <t>Than Thống Nhất</t>
  </si>
  <si>
    <t>Cổ điển</t>
  </si>
  <si>
    <t>Viễn thông Lào Cai - Yên Bái</t>
  </si>
  <si>
    <t>(MÃ KẺ NAM HDH24S)</t>
  </si>
  <si>
    <t xml:space="preserve">                                                                                                                                                                                         </t>
  </si>
  <si>
    <t>(MÃ TRẮNG KEM NAM HDH22 - KHÔNG LÉ, KHÔNG THÊU)</t>
  </si>
  <si>
    <t>TT Đào tạo và Bồi dưỡng nghiệp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</si>
</sst>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Fill="1"/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/>
    <xf numFmtId="0" fontId="0" fillId="0" borderId="0" xfId="0" applyFill="1" applyBorder="1"/>
    <xf numFmtId="0" fontId="10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876300</xdr:colOff>
      <xdr:row>1</xdr:row>
      <xdr:rowOff>143418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7300" cy="619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6"/>
  <sheetViews>
    <sheetView tabSelected="1" topLeftCell="A12" zoomScaleNormal="100" workbookViewId="0">
      <selection activeCell="AD54" sqref="AD52:AD54"/>
    </sheetView>
  </sheetViews>
  <sheetFormatPr defaultColWidth="9.140625" defaultRowHeight="15" x14ac:dyDescent="0.25"/>
  <cols>
    <col min="1" max="1" width="5.7109375" style="1" customWidth="1"/>
    <col min="2" max="2" width="18.5703125" style="1" customWidth="1"/>
    <col min="3" max="4" width="7.85546875" style="1" customWidth="1"/>
    <col min="5" max="28" width="4.28515625" style="1" customWidth="1"/>
    <col min="29" max="29" width="9.42578125" style="1" customWidth="1"/>
    <col min="30" max="30" width="16.85546875" style="1" bestFit="1" customWidth="1"/>
    <col min="31" max="16384" width="9.140625" style="1"/>
  </cols>
  <sheetData>
    <row r="1" spans="1:34" ht="37.5" customHeight="1" x14ac:dyDescent="0.25">
      <c r="A1" s="64" t="s">
        <v>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</row>
    <row r="2" spans="1:34" ht="15" customHeight="1" x14ac:dyDescent="0.25"/>
    <row r="3" spans="1:34" ht="18.75" customHeight="1" x14ac:dyDescent="0.25">
      <c r="A3" s="2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4" ht="18.600000000000001" customHeight="1" x14ac:dyDescent="0.25">
      <c r="A4" s="2" t="s">
        <v>31</v>
      </c>
      <c r="B4" s="2"/>
      <c r="C4" s="2"/>
      <c r="D4" s="2"/>
    </row>
    <row r="5" spans="1:34" customFormat="1" x14ac:dyDescent="0.25"/>
    <row r="6" spans="1:34" customFormat="1" ht="48.75" customHeight="1" x14ac:dyDescent="0.25">
      <c r="A6" s="63" t="s">
        <v>27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</row>
    <row r="7" spans="1:34" customFormat="1" ht="22.5" customHeight="1" x14ac:dyDescent="0.25">
      <c r="A7" s="57" t="s">
        <v>0</v>
      </c>
      <c r="B7" s="57" t="s">
        <v>5</v>
      </c>
      <c r="C7" s="57" t="s">
        <v>4</v>
      </c>
      <c r="D7" s="57" t="s">
        <v>21</v>
      </c>
      <c r="E7" s="45" t="s">
        <v>9</v>
      </c>
      <c r="F7" s="46"/>
      <c r="G7" s="45" t="s">
        <v>10</v>
      </c>
      <c r="H7" s="46"/>
      <c r="I7" s="45" t="s">
        <v>11</v>
      </c>
      <c r="J7" s="46"/>
      <c r="K7" s="45" t="s">
        <v>12</v>
      </c>
      <c r="L7" s="46"/>
      <c r="M7" s="45" t="s">
        <v>13</v>
      </c>
      <c r="N7" s="46"/>
      <c r="O7" s="45" t="s">
        <v>14</v>
      </c>
      <c r="P7" s="46"/>
      <c r="Q7" s="45" t="s">
        <v>15</v>
      </c>
      <c r="R7" s="46"/>
      <c r="S7" s="45" t="s">
        <v>16</v>
      </c>
      <c r="T7" s="46"/>
      <c r="U7" s="45" t="s">
        <v>17</v>
      </c>
      <c r="V7" s="46"/>
      <c r="W7" s="45" t="s">
        <v>18</v>
      </c>
      <c r="X7" s="46"/>
      <c r="Y7" s="45" t="s">
        <v>22</v>
      </c>
      <c r="Z7" s="46"/>
      <c r="AA7" s="45" t="s">
        <v>20</v>
      </c>
      <c r="AB7" s="46"/>
    </row>
    <row r="8" spans="1:34" customFormat="1" ht="22.5" customHeight="1" x14ac:dyDescent="0.25">
      <c r="A8" s="58"/>
      <c r="B8" s="58"/>
      <c r="C8" s="58"/>
      <c r="D8" s="58"/>
      <c r="E8" s="6" t="s">
        <v>7</v>
      </c>
      <c r="F8" s="6" t="s">
        <v>8</v>
      </c>
      <c r="G8" s="6" t="s">
        <v>7</v>
      </c>
      <c r="H8" s="6" t="s">
        <v>8</v>
      </c>
      <c r="I8" s="6" t="s">
        <v>7</v>
      </c>
      <c r="J8" s="6" t="s">
        <v>8</v>
      </c>
      <c r="K8" s="6" t="s">
        <v>7</v>
      </c>
      <c r="L8" s="6" t="s">
        <v>8</v>
      </c>
      <c r="M8" s="6" t="s">
        <v>7</v>
      </c>
      <c r="N8" s="6" t="s">
        <v>8</v>
      </c>
      <c r="O8" s="6" t="s">
        <v>7</v>
      </c>
      <c r="P8" s="6" t="s">
        <v>8</v>
      </c>
      <c r="Q8" s="6" t="s">
        <v>7</v>
      </c>
      <c r="R8" s="6" t="s">
        <v>8</v>
      </c>
      <c r="S8" s="6" t="s">
        <v>7</v>
      </c>
      <c r="T8" s="6" t="s">
        <v>8</v>
      </c>
      <c r="U8" s="6" t="s">
        <v>7</v>
      </c>
      <c r="V8" s="6" t="s">
        <v>8</v>
      </c>
      <c r="W8" s="6" t="s">
        <v>7</v>
      </c>
      <c r="X8" s="6" t="s">
        <v>8</v>
      </c>
      <c r="Y8" s="6" t="s">
        <v>7</v>
      </c>
      <c r="Z8" s="6" t="s">
        <v>8</v>
      </c>
      <c r="AA8" s="6" t="s">
        <v>7</v>
      </c>
      <c r="AB8" s="6" t="s">
        <v>8</v>
      </c>
    </row>
    <row r="9" spans="1:34" customFormat="1" ht="37.5" customHeight="1" x14ac:dyDescent="0.25">
      <c r="A9" s="47">
        <v>1</v>
      </c>
      <c r="B9" s="49" t="s">
        <v>32</v>
      </c>
      <c r="C9" s="51" t="s">
        <v>19</v>
      </c>
      <c r="D9" s="22" t="s">
        <v>29</v>
      </c>
      <c r="E9" s="10"/>
      <c r="F9" s="10"/>
      <c r="G9" s="10"/>
      <c r="H9" s="10"/>
      <c r="I9" s="11"/>
      <c r="J9" s="11"/>
      <c r="K9" s="5"/>
      <c r="L9" s="5"/>
      <c r="M9" s="5"/>
      <c r="N9" s="5">
        <v>1</v>
      </c>
      <c r="O9" s="5"/>
      <c r="P9" s="5"/>
      <c r="Q9" s="5"/>
      <c r="R9" s="5"/>
      <c r="S9" s="5"/>
      <c r="T9" s="5"/>
      <c r="U9" s="10"/>
      <c r="V9" s="10"/>
      <c r="W9" s="10"/>
      <c r="X9" s="10"/>
      <c r="Y9" s="10"/>
      <c r="Z9" s="10"/>
      <c r="AA9" s="19">
        <f>E9+G9+I9+K9+M9+O9+Q9+S9+U9+W9+Y9</f>
        <v>0</v>
      </c>
      <c r="AB9" s="19">
        <f>SUM(E9:Z9)-AA9</f>
        <v>1</v>
      </c>
    </row>
    <row r="10" spans="1:34" customFormat="1" ht="37.5" customHeight="1" x14ac:dyDescent="0.25">
      <c r="A10" s="61"/>
      <c r="B10" s="60"/>
      <c r="C10" s="59"/>
      <c r="D10" s="22" t="s">
        <v>24</v>
      </c>
      <c r="E10" s="10"/>
      <c r="F10" s="10"/>
      <c r="G10" s="10"/>
      <c r="H10" s="10"/>
      <c r="I10" s="11"/>
      <c r="J10" s="11"/>
      <c r="K10" s="5"/>
      <c r="L10" s="5"/>
      <c r="M10" s="5"/>
      <c r="N10" s="5">
        <v>1</v>
      </c>
      <c r="O10" s="5"/>
      <c r="P10" s="5"/>
      <c r="Q10" s="5"/>
      <c r="R10" s="5"/>
      <c r="S10" s="5"/>
      <c r="T10" s="5"/>
      <c r="U10" s="5"/>
      <c r="V10" s="5"/>
      <c r="W10" s="10"/>
      <c r="X10" s="10"/>
      <c r="Y10" s="10"/>
      <c r="Z10" s="10"/>
      <c r="AA10" s="19">
        <f t="shared" ref="AA10:AA15" si="0">E10+G10+I10+K10+M10+O10+Q10+S10+U10+W10+Y10</f>
        <v>0</v>
      </c>
      <c r="AB10" s="19">
        <f t="shared" ref="AB10:AB15" si="1">SUM(E10:Z10)-AA10</f>
        <v>1</v>
      </c>
    </row>
    <row r="11" spans="1:34" customFormat="1" ht="37.5" customHeight="1" x14ac:dyDescent="0.25">
      <c r="A11" s="31">
        <v>2</v>
      </c>
      <c r="B11" s="30" t="s">
        <v>33</v>
      </c>
      <c r="C11" s="21" t="s">
        <v>19</v>
      </c>
      <c r="D11" s="22" t="s">
        <v>23</v>
      </c>
      <c r="E11" s="10"/>
      <c r="F11" s="10"/>
      <c r="G11" s="10"/>
      <c r="H11" s="10"/>
      <c r="I11" s="11"/>
      <c r="J11" s="11"/>
      <c r="K11" s="5"/>
      <c r="L11" s="5"/>
      <c r="M11" s="5"/>
      <c r="N11" s="5"/>
      <c r="O11" s="5"/>
      <c r="P11" s="5">
        <v>2</v>
      </c>
      <c r="Q11" s="5"/>
      <c r="R11" s="5"/>
      <c r="S11" s="5"/>
      <c r="T11" s="5"/>
      <c r="U11" s="5"/>
      <c r="V11" s="5"/>
      <c r="W11" s="10"/>
      <c r="X11" s="10"/>
      <c r="Y11" s="10"/>
      <c r="Z11" s="10"/>
      <c r="AA11" s="19">
        <f t="shared" si="0"/>
        <v>0</v>
      </c>
      <c r="AB11" s="19">
        <f t="shared" si="1"/>
        <v>2</v>
      </c>
      <c r="AH11" t="s">
        <v>40</v>
      </c>
    </row>
    <row r="12" spans="1:34" customFormat="1" ht="37.5" customHeight="1" x14ac:dyDescent="0.25">
      <c r="A12" s="47">
        <v>3</v>
      </c>
      <c r="B12" s="49" t="s">
        <v>34</v>
      </c>
      <c r="C12" s="21" t="s">
        <v>28</v>
      </c>
      <c r="D12" s="22" t="s">
        <v>29</v>
      </c>
      <c r="E12" s="10"/>
      <c r="F12" s="10"/>
      <c r="G12" s="10"/>
      <c r="H12" s="10"/>
      <c r="I12" s="11"/>
      <c r="J12" s="11"/>
      <c r="K12" s="5"/>
      <c r="L12" s="5"/>
      <c r="M12" s="5"/>
      <c r="N12" s="5"/>
      <c r="O12" s="5"/>
      <c r="P12" s="5"/>
      <c r="Q12" s="5"/>
      <c r="R12" s="5">
        <v>1</v>
      </c>
      <c r="S12" s="5"/>
      <c r="T12" s="5"/>
      <c r="U12" s="5"/>
      <c r="V12" s="5"/>
      <c r="W12" s="10"/>
      <c r="X12" s="10"/>
      <c r="Y12" s="10"/>
      <c r="Z12" s="10"/>
      <c r="AA12" s="19">
        <f t="shared" ref="AA12:AA13" si="2">E12+G12+I12+K12+M12+O12+Q12+S12+U12+W12+Y12</f>
        <v>0</v>
      </c>
      <c r="AB12" s="19">
        <f t="shared" ref="AB12:AB13" si="3">SUM(E12:Z12)-AA12</f>
        <v>1</v>
      </c>
    </row>
    <row r="13" spans="1:34" customFormat="1" ht="37.5" customHeight="1" x14ac:dyDescent="0.25">
      <c r="A13" s="48"/>
      <c r="B13" s="50"/>
      <c r="C13" s="51" t="s">
        <v>19</v>
      </c>
      <c r="D13" s="22" t="s">
        <v>29</v>
      </c>
      <c r="E13" s="10"/>
      <c r="F13" s="10"/>
      <c r="G13" s="10"/>
      <c r="H13" s="10"/>
      <c r="I13" s="11"/>
      <c r="J13" s="11"/>
      <c r="K13" s="5"/>
      <c r="L13" s="5"/>
      <c r="M13" s="5"/>
      <c r="N13" s="5">
        <v>1</v>
      </c>
      <c r="O13" s="5"/>
      <c r="P13" s="5">
        <v>2</v>
      </c>
      <c r="Q13" s="5"/>
      <c r="R13" s="5">
        <v>2</v>
      </c>
      <c r="S13" s="5"/>
      <c r="T13" s="5"/>
      <c r="U13" s="5"/>
      <c r="V13" s="5"/>
      <c r="W13" s="10"/>
      <c r="X13" s="10"/>
      <c r="Y13" s="10"/>
      <c r="Z13" s="10"/>
      <c r="AA13" s="19">
        <f t="shared" si="2"/>
        <v>0</v>
      </c>
      <c r="AB13" s="19">
        <f t="shared" si="3"/>
        <v>5</v>
      </c>
    </row>
    <row r="14" spans="1:34" customFormat="1" ht="37.5" customHeight="1" x14ac:dyDescent="0.25">
      <c r="A14" s="48"/>
      <c r="B14" s="50"/>
      <c r="C14" s="52"/>
      <c r="D14" s="22" t="s">
        <v>25</v>
      </c>
      <c r="E14" s="10"/>
      <c r="F14" s="10"/>
      <c r="G14" s="10"/>
      <c r="H14" s="10"/>
      <c r="I14" s="11"/>
      <c r="J14" s="11"/>
      <c r="K14" s="5"/>
      <c r="L14" s="5">
        <v>1</v>
      </c>
      <c r="M14" s="5"/>
      <c r="N14" s="5"/>
      <c r="O14" s="5"/>
      <c r="P14" s="5">
        <v>1</v>
      </c>
      <c r="Q14" s="5"/>
      <c r="R14" s="5">
        <v>2</v>
      </c>
      <c r="S14" s="5"/>
      <c r="T14" s="5"/>
      <c r="U14" s="5"/>
      <c r="V14" s="5"/>
      <c r="W14" s="10"/>
      <c r="X14" s="10"/>
      <c r="Y14" s="10"/>
      <c r="Z14" s="10"/>
      <c r="AA14" s="19">
        <f t="shared" si="0"/>
        <v>0</v>
      </c>
      <c r="AB14" s="19">
        <f t="shared" si="1"/>
        <v>4</v>
      </c>
    </row>
    <row r="15" spans="1:34" customFormat="1" ht="37.5" customHeight="1" x14ac:dyDescent="0.25">
      <c r="A15" s="61"/>
      <c r="B15" s="60"/>
      <c r="C15" s="59"/>
      <c r="D15" s="22" t="s">
        <v>23</v>
      </c>
      <c r="E15" s="10"/>
      <c r="F15" s="10"/>
      <c r="G15" s="10"/>
      <c r="H15" s="10"/>
      <c r="I15" s="11"/>
      <c r="J15" s="11"/>
      <c r="K15" s="5"/>
      <c r="L15" s="5"/>
      <c r="M15" s="5"/>
      <c r="N15" s="5"/>
      <c r="O15" s="5"/>
      <c r="P15" s="5">
        <v>1</v>
      </c>
      <c r="Q15" s="5"/>
      <c r="R15" s="5"/>
      <c r="S15" s="5"/>
      <c r="T15" s="5"/>
      <c r="U15" s="5"/>
      <c r="V15" s="5"/>
      <c r="W15" s="10"/>
      <c r="X15" s="10"/>
      <c r="Y15" s="10"/>
      <c r="Z15" s="10"/>
      <c r="AA15" s="19">
        <f t="shared" si="0"/>
        <v>0</v>
      </c>
      <c r="AB15" s="19">
        <f t="shared" si="1"/>
        <v>1</v>
      </c>
    </row>
    <row r="16" spans="1:34" customFormat="1" ht="33.75" hidden="1" customHeight="1" x14ac:dyDescent="0.25">
      <c r="A16" s="23"/>
      <c r="B16" s="24"/>
      <c r="C16" s="25"/>
      <c r="D16" s="21"/>
      <c r="E16" s="10"/>
      <c r="F16" s="10"/>
      <c r="G16" s="10"/>
      <c r="H16" s="10"/>
      <c r="I16" s="10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9">
        <f>E16+G16+I16+K16+M16+O16+Q16+S16+U16+W16+Y16</f>
        <v>0</v>
      </c>
      <c r="AB16" s="9">
        <f>SUM(E16:Z16)-AA16</f>
        <v>0</v>
      </c>
    </row>
    <row r="17" spans="1:28" customFormat="1" ht="26.25" customHeight="1" x14ac:dyDescent="0.25">
      <c r="A17" s="53" t="s">
        <v>1</v>
      </c>
      <c r="B17" s="54"/>
      <c r="C17" s="54"/>
      <c r="D17" s="55"/>
      <c r="E17" s="17">
        <f t="shared" ref="E17:AB17" si="4">SUM(E9:E16)</f>
        <v>0</v>
      </c>
      <c r="F17" s="17">
        <f t="shared" si="4"/>
        <v>0</v>
      </c>
      <c r="G17" s="17">
        <f t="shared" si="4"/>
        <v>0</v>
      </c>
      <c r="H17" s="17">
        <f t="shared" si="4"/>
        <v>0</v>
      </c>
      <c r="I17" s="17">
        <f t="shared" si="4"/>
        <v>0</v>
      </c>
      <c r="J17" s="17">
        <f t="shared" si="4"/>
        <v>0</v>
      </c>
      <c r="K17" s="17">
        <f t="shared" si="4"/>
        <v>0</v>
      </c>
      <c r="L17" s="17">
        <f t="shared" si="4"/>
        <v>1</v>
      </c>
      <c r="M17" s="17">
        <f t="shared" si="4"/>
        <v>0</v>
      </c>
      <c r="N17" s="17">
        <f t="shared" si="4"/>
        <v>3</v>
      </c>
      <c r="O17" s="17">
        <f t="shared" si="4"/>
        <v>0</v>
      </c>
      <c r="P17" s="17">
        <f t="shared" si="4"/>
        <v>6</v>
      </c>
      <c r="Q17" s="17">
        <f t="shared" si="4"/>
        <v>0</v>
      </c>
      <c r="R17" s="17">
        <f t="shared" si="4"/>
        <v>5</v>
      </c>
      <c r="S17" s="17">
        <f t="shared" si="4"/>
        <v>0</v>
      </c>
      <c r="T17" s="17">
        <f t="shared" si="4"/>
        <v>0</v>
      </c>
      <c r="U17" s="17">
        <f t="shared" si="4"/>
        <v>0</v>
      </c>
      <c r="V17" s="17">
        <f t="shared" si="4"/>
        <v>0</v>
      </c>
      <c r="W17" s="17">
        <f t="shared" si="4"/>
        <v>0</v>
      </c>
      <c r="X17" s="17">
        <f t="shared" si="4"/>
        <v>0</v>
      </c>
      <c r="Y17" s="17">
        <f t="shared" si="4"/>
        <v>0</v>
      </c>
      <c r="Z17" s="17">
        <f t="shared" si="4"/>
        <v>0</v>
      </c>
      <c r="AA17" s="16">
        <f t="shared" si="4"/>
        <v>0</v>
      </c>
      <c r="AB17" s="16">
        <f t="shared" si="4"/>
        <v>15</v>
      </c>
    </row>
    <row r="18" spans="1:28" customFormat="1" x14ac:dyDescent="0.25"/>
    <row r="19" spans="1:28" customFormat="1" ht="30" customHeight="1" x14ac:dyDescent="0.25">
      <c r="A19" s="66" t="s">
        <v>26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</row>
    <row r="20" spans="1:28" customFormat="1" ht="22.5" customHeight="1" x14ac:dyDescent="0.25">
      <c r="A20" s="62" t="s">
        <v>0</v>
      </c>
      <c r="B20" s="62" t="s">
        <v>5</v>
      </c>
      <c r="C20" s="62" t="s">
        <v>4</v>
      </c>
      <c r="D20" s="62" t="s">
        <v>21</v>
      </c>
      <c r="E20" s="62" t="s">
        <v>9</v>
      </c>
      <c r="F20" s="62"/>
      <c r="G20" s="62" t="s">
        <v>10</v>
      </c>
      <c r="H20" s="62"/>
      <c r="I20" s="62" t="s">
        <v>11</v>
      </c>
      <c r="J20" s="62"/>
      <c r="K20" s="62" t="s">
        <v>12</v>
      </c>
      <c r="L20" s="62"/>
      <c r="M20" s="62" t="s">
        <v>13</v>
      </c>
      <c r="N20" s="62"/>
      <c r="O20" s="62" t="s">
        <v>14</v>
      </c>
      <c r="P20" s="62"/>
      <c r="Q20" s="62" t="s">
        <v>15</v>
      </c>
      <c r="R20" s="62"/>
      <c r="S20" s="62" t="s">
        <v>16</v>
      </c>
      <c r="T20" s="62"/>
      <c r="U20" s="62" t="s">
        <v>17</v>
      </c>
      <c r="V20" s="62"/>
      <c r="W20" s="62" t="s">
        <v>18</v>
      </c>
      <c r="X20" s="62"/>
      <c r="Y20" s="62" t="s">
        <v>22</v>
      </c>
      <c r="Z20" s="62"/>
      <c r="AA20" s="62" t="s">
        <v>20</v>
      </c>
      <c r="AB20" s="62"/>
    </row>
    <row r="21" spans="1:28" customFormat="1" ht="22.5" customHeight="1" x14ac:dyDescent="0.25">
      <c r="A21" s="62"/>
      <c r="B21" s="62"/>
      <c r="C21" s="62"/>
      <c r="D21" s="62"/>
      <c r="E21" s="6" t="s">
        <v>7</v>
      </c>
      <c r="F21" s="6" t="s">
        <v>8</v>
      </c>
      <c r="G21" s="6" t="s">
        <v>7</v>
      </c>
      <c r="H21" s="6" t="s">
        <v>8</v>
      </c>
      <c r="I21" s="6" t="s">
        <v>7</v>
      </c>
      <c r="J21" s="6" t="s">
        <v>8</v>
      </c>
      <c r="K21" s="6" t="s">
        <v>7</v>
      </c>
      <c r="L21" s="6" t="s">
        <v>8</v>
      </c>
      <c r="M21" s="6" t="s">
        <v>7</v>
      </c>
      <c r="N21" s="6" t="s">
        <v>8</v>
      </c>
      <c r="O21" s="6" t="s">
        <v>7</v>
      </c>
      <c r="P21" s="6" t="s">
        <v>8</v>
      </c>
      <c r="Q21" s="6" t="s">
        <v>7</v>
      </c>
      <c r="R21" s="6" t="s">
        <v>8</v>
      </c>
      <c r="S21" s="6" t="s">
        <v>7</v>
      </c>
      <c r="T21" s="6" t="s">
        <v>8</v>
      </c>
      <c r="U21" s="6" t="s">
        <v>7</v>
      </c>
      <c r="V21" s="6" t="s">
        <v>8</v>
      </c>
      <c r="W21" s="6" t="s">
        <v>7</v>
      </c>
      <c r="X21" s="6" t="s">
        <v>8</v>
      </c>
      <c r="Y21" s="6" t="s">
        <v>7</v>
      </c>
      <c r="Z21" s="6" t="s">
        <v>8</v>
      </c>
      <c r="AA21" s="6" t="s">
        <v>7</v>
      </c>
      <c r="AB21" s="6" t="s">
        <v>8</v>
      </c>
    </row>
    <row r="22" spans="1:28" customFormat="1" ht="37.5" customHeight="1" x14ac:dyDescent="0.25">
      <c r="A22" s="47">
        <v>1</v>
      </c>
      <c r="B22" s="49" t="s">
        <v>33</v>
      </c>
      <c r="C22" s="51" t="s">
        <v>19</v>
      </c>
      <c r="D22" s="20" t="s">
        <v>29</v>
      </c>
      <c r="E22" s="10"/>
      <c r="F22" s="11"/>
      <c r="G22" s="5"/>
      <c r="H22" s="5">
        <v>2</v>
      </c>
      <c r="I22" s="5"/>
      <c r="J22" s="5"/>
      <c r="K22" s="5"/>
      <c r="L22" s="5">
        <v>3</v>
      </c>
      <c r="M22" s="5"/>
      <c r="N22" s="5">
        <v>8</v>
      </c>
      <c r="O22" s="5"/>
      <c r="P22" s="5">
        <v>4</v>
      </c>
      <c r="Q22" s="5"/>
      <c r="R22" s="5"/>
      <c r="S22" s="5"/>
      <c r="T22" s="5">
        <v>1</v>
      </c>
      <c r="U22" s="5"/>
      <c r="V22" s="5"/>
      <c r="W22" s="5"/>
      <c r="X22" s="5"/>
      <c r="Y22" s="10"/>
      <c r="Z22" s="10"/>
      <c r="AA22" s="12">
        <f t="shared" ref="AA22:AA25" si="5">E22+G22+I22+K22+M22+O22+Q22+S22+U22+W22+Y22</f>
        <v>0</v>
      </c>
      <c r="AB22" s="12">
        <f t="shared" ref="AB22:AB25" si="6">SUM(E22:Z22)-AA22</f>
        <v>18</v>
      </c>
    </row>
    <row r="23" spans="1:28" customFormat="1" ht="37.5" customHeight="1" x14ac:dyDescent="0.25">
      <c r="A23" s="48"/>
      <c r="B23" s="50"/>
      <c r="C23" s="52"/>
      <c r="D23" s="22" t="s">
        <v>25</v>
      </c>
      <c r="E23" s="7"/>
      <c r="F23" s="8"/>
      <c r="G23" s="5"/>
      <c r="H23" s="5"/>
      <c r="I23" s="5"/>
      <c r="J23" s="5"/>
      <c r="K23" s="5"/>
      <c r="L23" s="5">
        <v>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7"/>
      <c r="Z23" s="7"/>
      <c r="AA23" s="12">
        <f t="shared" ref="AA23:AA24" si="7">E23+G23+I23+K23+M23+O23+Q23+S23+U23+W23+Y23</f>
        <v>0</v>
      </c>
      <c r="AB23" s="12">
        <f t="shared" ref="AB23:AB24" si="8">SUM(E23:Z23)-AA23</f>
        <v>2</v>
      </c>
    </row>
    <row r="24" spans="1:28" customFormat="1" ht="37.5" customHeight="1" x14ac:dyDescent="0.25">
      <c r="A24" s="48"/>
      <c r="B24" s="50"/>
      <c r="C24" s="52"/>
      <c r="D24" s="22" t="s">
        <v>23</v>
      </c>
      <c r="E24" s="7"/>
      <c r="F24" s="8"/>
      <c r="G24" s="5"/>
      <c r="H24" s="5"/>
      <c r="I24" s="5"/>
      <c r="J24" s="5">
        <v>2</v>
      </c>
      <c r="K24" s="5"/>
      <c r="L24" s="5">
        <v>4</v>
      </c>
      <c r="M24" s="5"/>
      <c r="N24" s="5">
        <v>8</v>
      </c>
      <c r="O24" s="5"/>
      <c r="P24" s="5">
        <v>2</v>
      </c>
      <c r="Q24" s="5"/>
      <c r="R24" s="5">
        <v>5</v>
      </c>
      <c r="S24" s="5">
        <v>1</v>
      </c>
      <c r="T24" s="5">
        <v>5</v>
      </c>
      <c r="U24" s="5"/>
      <c r="V24" s="5">
        <v>2</v>
      </c>
      <c r="W24" s="5"/>
      <c r="X24" s="5"/>
      <c r="Y24" s="7"/>
      <c r="Z24" s="7"/>
      <c r="AA24" s="12">
        <f t="shared" si="7"/>
        <v>1</v>
      </c>
      <c r="AB24" s="12">
        <f t="shared" si="8"/>
        <v>28</v>
      </c>
    </row>
    <row r="25" spans="1:28" customFormat="1" ht="33.75" hidden="1" customHeight="1" x14ac:dyDescent="0.25">
      <c r="A25" s="13"/>
      <c r="B25" s="14"/>
      <c r="C25" s="15"/>
      <c r="D25" s="18"/>
      <c r="E25" s="7"/>
      <c r="F25" s="7"/>
      <c r="G25" s="7"/>
      <c r="H25" s="7"/>
      <c r="I25" s="7"/>
      <c r="J25" s="8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9">
        <f t="shared" si="5"/>
        <v>0</v>
      </c>
      <c r="AB25" s="9">
        <f t="shared" si="6"/>
        <v>0</v>
      </c>
    </row>
    <row r="26" spans="1:28" customFormat="1" ht="26.25" customHeight="1" x14ac:dyDescent="0.25">
      <c r="A26" s="53" t="s">
        <v>1</v>
      </c>
      <c r="B26" s="54"/>
      <c r="C26" s="54"/>
      <c r="D26" s="55"/>
      <c r="E26" s="17">
        <f t="shared" ref="E26:AB26" si="9">SUM(E22:E25)</f>
        <v>0</v>
      </c>
      <c r="F26" s="17">
        <f t="shared" si="9"/>
        <v>0</v>
      </c>
      <c r="G26" s="17">
        <f t="shared" si="9"/>
        <v>0</v>
      </c>
      <c r="H26" s="17">
        <f t="shared" si="9"/>
        <v>2</v>
      </c>
      <c r="I26" s="17">
        <f t="shared" si="9"/>
        <v>0</v>
      </c>
      <c r="J26" s="17">
        <f t="shared" si="9"/>
        <v>2</v>
      </c>
      <c r="K26" s="17">
        <f t="shared" si="9"/>
        <v>0</v>
      </c>
      <c r="L26" s="17">
        <f t="shared" si="9"/>
        <v>9</v>
      </c>
      <c r="M26" s="17">
        <f t="shared" si="9"/>
        <v>0</v>
      </c>
      <c r="N26" s="17">
        <f t="shared" si="9"/>
        <v>16</v>
      </c>
      <c r="O26" s="17">
        <f t="shared" si="9"/>
        <v>0</v>
      </c>
      <c r="P26" s="17">
        <f t="shared" si="9"/>
        <v>6</v>
      </c>
      <c r="Q26" s="17">
        <f t="shared" si="9"/>
        <v>0</v>
      </c>
      <c r="R26" s="17">
        <f t="shared" si="9"/>
        <v>5</v>
      </c>
      <c r="S26" s="17">
        <f t="shared" si="9"/>
        <v>1</v>
      </c>
      <c r="T26" s="17">
        <f t="shared" si="9"/>
        <v>6</v>
      </c>
      <c r="U26" s="17">
        <f t="shared" si="9"/>
        <v>0</v>
      </c>
      <c r="V26" s="17">
        <f t="shared" si="9"/>
        <v>2</v>
      </c>
      <c r="W26" s="17">
        <f t="shared" si="9"/>
        <v>0</v>
      </c>
      <c r="X26" s="17">
        <f t="shared" si="9"/>
        <v>0</v>
      </c>
      <c r="Y26" s="17">
        <f t="shared" si="9"/>
        <v>0</v>
      </c>
      <c r="Z26" s="17">
        <f t="shared" si="9"/>
        <v>0</v>
      </c>
      <c r="AA26" s="16">
        <f t="shared" si="9"/>
        <v>1</v>
      </c>
      <c r="AB26" s="16">
        <f t="shared" si="9"/>
        <v>48</v>
      </c>
    </row>
    <row r="27" spans="1:28" customFormat="1" x14ac:dyDescent="0.25"/>
    <row r="28" spans="1:28" customFormat="1" ht="30" customHeight="1" x14ac:dyDescent="0.25">
      <c r="A28" s="56" t="s">
        <v>35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</row>
    <row r="29" spans="1:28" customFormat="1" ht="22.5" customHeight="1" x14ac:dyDescent="0.25">
      <c r="A29" s="57" t="s">
        <v>0</v>
      </c>
      <c r="B29" s="57" t="s">
        <v>5</v>
      </c>
      <c r="C29" s="57" t="s">
        <v>4</v>
      </c>
      <c r="D29" s="57" t="s">
        <v>21</v>
      </c>
      <c r="E29" s="45" t="s">
        <v>9</v>
      </c>
      <c r="F29" s="46"/>
      <c r="G29" s="45" t="s">
        <v>10</v>
      </c>
      <c r="H29" s="46"/>
      <c r="I29" s="45" t="s">
        <v>11</v>
      </c>
      <c r="J29" s="46"/>
      <c r="K29" s="45" t="s">
        <v>12</v>
      </c>
      <c r="L29" s="46"/>
      <c r="M29" s="45" t="s">
        <v>13</v>
      </c>
      <c r="N29" s="46"/>
      <c r="O29" s="45" t="s">
        <v>14</v>
      </c>
      <c r="P29" s="46"/>
      <c r="Q29" s="45" t="s">
        <v>15</v>
      </c>
      <c r="R29" s="46"/>
      <c r="S29" s="45" t="s">
        <v>16</v>
      </c>
      <c r="T29" s="46"/>
      <c r="U29" s="45" t="s">
        <v>17</v>
      </c>
      <c r="V29" s="46"/>
      <c r="W29" s="45" t="s">
        <v>18</v>
      </c>
      <c r="X29" s="46"/>
      <c r="Y29" s="45" t="s">
        <v>22</v>
      </c>
      <c r="Z29" s="46"/>
      <c r="AA29" s="45" t="s">
        <v>20</v>
      </c>
      <c r="AB29" s="46"/>
    </row>
    <row r="30" spans="1:28" customFormat="1" ht="22.5" customHeight="1" x14ac:dyDescent="0.25">
      <c r="A30" s="58"/>
      <c r="B30" s="58"/>
      <c r="C30" s="58"/>
      <c r="D30" s="58"/>
      <c r="E30" s="6" t="s">
        <v>7</v>
      </c>
      <c r="F30" s="6" t="s">
        <v>8</v>
      </c>
      <c r="G30" s="33" t="s">
        <v>7</v>
      </c>
      <c r="H30" s="33" t="s">
        <v>8</v>
      </c>
      <c r="I30" s="33" t="s">
        <v>7</v>
      </c>
      <c r="J30" s="33" t="s">
        <v>8</v>
      </c>
      <c r="K30" s="33" t="s">
        <v>7</v>
      </c>
      <c r="L30" s="33" t="s">
        <v>8</v>
      </c>
      <c r="M30" s="33" t="s">
        <v>7</v>
      </c>
      <c r="N30" s="33" t="s">
        <v>8</v>
      </c>
      <c r="O30" s="33" t="s">
        <v>7</v>
      </c>
      <c r="P30" s="33" t="s">
        <v>8</v>
      </c>
      <c r="Q30" s="33" t="s">
        <v>7</v>
      </c>
      <c r="R30" s="33" t="s">
        <v>8</v>
      </c>
      <c r="S30" s="33" t="s">
        <v>7</v>
      </c>
      <c r="T30" s="33" t="s">
        <v>8</v>
      </c>
      <c r="U30" s="33" t="s">
        <v>7</v>
      </c>
      <c r="V30" s="33" t="s">
        <v>8</v>
      </c>
      <c r="W30" s="6" t="s">
        <v>7</v>
      </c>
      <c r="X30" s="6" t="s">
        <v>8</v>
      </c>
      <c r="Y30" s="6" t="s">
        <v>7</v>
      </c>
      <c r="Z30" s="6" t="s">
        <v>8</v>
      </c>
      <c r="AA30" s="6" t="s">
        <v>7</v>
      </c>
      <c r="AB30" s="6" t="s">
        <v>8</v>
      </c>
    </row>
    <row r="31" spans="1:28" customFormat="1" ht="37.5" customHeight="1" x14ac:dyDescent="0.25">
      <c r="A31" s="47">
        <v>1</v>
      </c>
      <c r="B31" s="49" t="s">
        <v>36</v>
      </c>
      <c r="C31" s="51" t="s">
        <v>19</v>
      </c>
      <c r="D31" s="26" t="s">
        <v>37</v>
      </c>
      <c r="E31" s="7"/>
      <c r="F31" s="34"/>
      <c r="G31" s="10"/>
      <c r="H31" s="10"/>
      <c r="I31" s="35"/>
      <c r="J31" s="41"/>
      <c r="K31" s="35">
        <v>4</v>
      </c>
      <c r="L31" s="35">
        <v>2</v>
      </c>
      <c r="M31" s="42"/>
      <c r="N31" s="42"/>
      <c r="O31" s="35">
        <v>6</v>
      </c>
      <c r="P31" s="35">
        <v>6</v>
      </c>
      <c r="Q31" s="42"/>
      <c r="R31" s="42"/>
      <c r="S31" s="10">
        <v>2</v>
      </c>
      <c r="T31" s="10">
        <v>1</v>
      </c>
      <c r="U31" s="10">
        <v>1</v>
      </c>
      <c r="V31" s="10">
        <v>1</v>
      </c>
      <c r="W31" s="36"/>
      <c r="X31" s="11"/>
      <c r="Y31" s="7"/>
      <c r="Z31" s="7"/>
      <c r="AA31" s="9">
        <f t="shared" ref="AA31:AA34" si="10">E31+G31+I31+K31+M31+O31+Q31+S31+U31+W31+Y31</f>
        <v>13</v>
      </c>
      <c r="AB31" s="9">
        <f t="shared" ref="AB31:AB34" si="11">SUM(E31:Z31)-AA31</f>
        <v>10</v>
      </c>
    </row>
    <row r="32" spans="1:28" customFormat="1" ht="37.5" customHeight="1" x14ac:dyDescent="0.25">
      <c r="A32" s="48"/>
      <c r="B32" s="50"/>
      <c r="C32" s="52"/>
      <c r="D32" s="26" t="s">
        <v>25</v>
      </c>
      <c r="E32" s="7"/>
      <c r="F32" s="7"/>
      <c r="G32" s="7"/>
      <c r="H32" s="37"/>
      <c r="I32" s="35"/>
      <c r="J32" s="41"/>
      <c r="K32" s="35">
        <v>2</v>
      </c>
      <c r="L32" s="35">
        <v>2</v>
      </c>
      <c r="M32" s="35">
        <v>10</v>
      </c>
      <c r="N32" s="35">
        <v>10</v>
      </c>
      <c r="O32" s="35">
        <v>1</v>
      </c>
      <c r="P32" s="35">
        <v>1</v>
      </c>
      <c r="Q32" s="35">
        <v>4</v>
      </c>
      <c r="R32" s="35">
        <v>4</v>
      </c>
      <c r="S32" s="38"/>
      <c r="T32" s="39"/>
      <c r="U32" s="8"/>
      <c r="V32" s="8"/>
      <c r="W32" s="11"/>
      <c r="X32" s="11"/>
      <c r="Y32" s="7"/>
      <c r="Z32" s="7"/>
      <c r="AA32" s="9">
        <f t="shared" si="10"/>
        <v>17</v>
      </c>
      <c r="AB32" s="9">
        <f t="shared" si="11"/>
        <v>17</v>
      </c>
    </row>
    <row r="33" spans="1:28" customFormat="1" ht="37.5" customHeight="1" x14ac:dyDescent="0.25">
      <c r="A33" s="48"/>
      <c r="B33" s="50"/>
      <c r="C33" s="52"/>
      <c r="D33" s="26" t="s">
        <v>23</v>
      </c>
      <c r="E33" s="7"/>
      <c r="F33" s="7"/>
      <c r="G33" s="7"/>
      <c r="H33" s="40"/>
      <c r="I33" s="10">
        <v>1</v>
      </c>
      <c r="J33" s="10">
        <v>1</v>
      </c>
      <c r="K33" s="10">
        <v>1</v>
      </c>
      <c r="L33" s="10">
        <v>1</v>
      </c>
      <c r="M33" s="10">
        <v>6</v>
      </c>
      <c r="N33" s="10">
        <v>6</v>
      </c>
      <c r="O33" s="10">
        <v>5</v>
      </c>
      <c r="P33" s="10">
        <v>5</v>
      </c>
      <c r="Q33" s="35">
        <v>1</v>
      </c>
      <c r="R33" s="35">
        <v>1</v>
      </c>
      <c r="S33" s="43"/>
      <c r="T33" s="35"/>
      <c r="U33" s="36"/>
      <c r="V33" s="11"/>
      <c r="W33" s="11"/>
      <c r="X33" s="11"/>
      <c r="Y33" s="7"/>
      <c r="Z33" s="7"/>
      <c r="AA33" s="9">
        <f t="shared" si="10"/>
        <v>14</v>
      </c>
      <c r="AB33" s="9">
        <f t="shared" si="11"/>
        <v>14</v>
      </c>
    </row>
    <row r="34" spans="1:28" customFormat="1" ht="37.5" customHeight="1" x14ac:dyDescent="0.25">
      <c r="A34" s="48"/>
      <c r="B34" s="50"/>
      <c r="C34" s="52"/>
      <c r="D34" s="21" t="s">
        <v>24</v>
      </c>
      <c r="E34" s="7"/>
      <c r="F34" s="7"/>
      <c r="G34" s="7"/>
      <c r="H34" s="40"/>
      <c r="I34" s="7"/>
      <c r="J34" s="7"/>
      <c r="K34" s="7"/>
      <c r="L34" s="7"/>
      <c r="M34" s="7"/>
      <c r="N34" s="7"/>
      <c r="O34" s="7"/>
      <c r="P34" s="34"/>
      <c r="Q34" s="10">
        <v>2</v>
      </c>
      <c r="R34" s="10">
        <v>2</v>
      </c>
      <c r="S34" s="44"/>
      <c r="T34" s="10"/>
      <c r="U34" s="36"/>
      <c r="V34" s="11"/>
      <c r="W34" s="11"/>
      <c r="X34" s="11"/>
      <c r="Y34" s="7"/>
      <c r="Z34" s="7"/>
      <c r="AA34" s="9">
        <f t="shared" si="10"/>
        <v>2</v>
      </c>
      <c r="AB34" s="9">
        <f t="shared" si="11"/>
        <v>2</v>
      </c>
    </row>
    <row r="35" spans="1:28" customFormat="1" ht="33.75" hidden="1" customHeight="1" x14ac:dyDescent="0.25">
      <c r="A35" s="13"/>
      <c r="B35" s="14"/>
      <c r="C35" s="15"/>
      <c r="D35" s="26"/>
      <c r="E35" s="7"/>
      <c r="F35" s="7"/>
      <c r="G35" s="7"/>
      <c r="H35" s="7"/>
      <c r="I35" s="7"/>
      <c r="J35" s="8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9">
        <f>E35+G35+I35+K35+M35+O35+Q35+S35+U35+W35+Y35</f>
        <v>0</v>
      </c>
      <c r="AB35" s="9">
        <f>SUM(E35:Z35)-AA35</f>
        <v>0</v>
      </c>
    </row>
    <row r="36" spans="1:28" customFormat="1" ht="26.25" customHeight="1" x14ac:dyDescent="0.25">
      <c r="A36" s="53" t="s">
        <v>1</v>
      </c>
      <c r="B36" s="54"/>
      <c r="C36" s="54"/>
      <c r="D36" s="55"/>
      <c r="E36" s="27">
        <f t="shared" ref="E36:AB36" si="12">SUM(E31:E35)</f>
        <v>0</v>
      </c>
      <c r="F36" s="27">
        <f t="shared" si="12"/>
        <v>0</v>
      </c>
      <c r="G36" s="27">
        <f t="shared" si="12"/>
        <v>0</v>
      </c>
      <c r="H36" s="27">
        <f t="shared" si="12"/>
        <v>0</v>
      </c>
      <c r="I36" s="27">
        <f t="shared" si="12"/>
        <v>1</v>
      </c>
      <c r="J36" s="27">
        <f t="shared" si="12"/>
        <v>1</v>
      </c>
      <c r="K36" s="27">
        <f t="shared" si="12"/>
        <v>7</v>
      </c>
      <c r="L36" s="27">
        <f t="shared" si="12"/>
        <v>5</v>
      </c>
      <c r="M36" s="27">
        <f t="shared" si="12"/>
        <v>16</v>
      </c>
      <c r="N36" s="27">
        <f t="shared" si="12"/>
        <v>16</v>
      </c>
      <c r="O36" s="27">
        <f t="shared" si="12"/>
        <v>12</v>
      </c>
      <c r="P36" s="27">
        <f t="shared" si="12"/>
        <v>12</v>
      </c>
      <c r="Q36" s="27">
        <f t="shared" si="12"/>
        <v>7</v>
      </c>
      <c r="R36" s="27">
        <f t="shared" si="12"/>
        <v>7</v>
      </c>
      <c r="S36" s="27">
        <f t="shared" si="12"/>
        <v>2</v>
      </c>
      <c r="T36" s="27">
        <f t="shared" si="12"/>
        <v>1</v>
      </c>
      <c r="U36" s="27">
        <f t="shared" si="12"/>
        <v>1</v>
      </c>
      <c r="V36" s="27">
        <f t="shared" si="12"/>
        <v>1</v>
      </c>
      <c r="W36" s="27">
        <f t="shared" si="12"/>
        <v>0</v>
      </c>
      <c r="X36" s="27">
        <f t="shared" si="12"/>
        <v>0</v>
      </c>
      <c r="Y36" s="27">
        <f t="shared" si="12"/>
        <v>0</v>
      </c>
      <c r="Z36" s="27">
        <f t="shared" si="12"/>
        <v>0</v>
      </c>
      <c r="AA36" s="16">
        <f t="shared" si="12"/>
        <v>46</v>
      </c>
      <c r="AB36" s="16">
        <f t="shared" si="12"/>
        <v>43</v>
      </c>
    </row>
    <row r="37" spans="1:28" customFormat="1" x14ac:dyDescent="0.25"/>
    <row r="38" spans="1:28" customFormat="1" ht="30" customHeight="1" x14ac:dyDescent="0.25">
      <c r="A38" s="56" t="s">
        <v>39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</row>
    <row r="39" spans="1:28" customFormat="1" ht="22.5" customHeight="1" x14ac:dyDescent="0.25">
      <c r="A39" s="57" t="s">
        <v>0</v>
      </c>
      <c r="B39" s="57" t="s">
        <v>5</v>
      </c>
      <c r="C39" s="57" t="s">
        <v>4</v>
      </c>
      <c r="D39" s="57" t="s">
        <v>21</v>
      </c>
      <c r="E39" s="45" t="s">
        <v>9</v>
      </c>
      <c r="F39" s="46"/>
      <c r="G39" s="45" t="s">
        <v>10</v>
      </c>
      <c r="H39" s="46"/>
      <c r="I39" s="45" t="s">
        <v>11</v>
      </c>
      <c r="J39" s="46"/>
      <c r="K39" s="45" t="s">
        <v>12</v>
      </c>
      <c r="L39" s="46"/>
      <c r="M39" s="45" t="s">
        <v>13</v>
      </c>
      <c r="N39" s="46"/>
      <c r="O39" s="45" t="s">
        <v>14</v>
      </c>
      <c r="P39" s="46"/>
      <c r="Q39" s="45" t="s">
        <v>15</v>
      </c>
      <c r="R39" s="46"/>
      <c r="S39" s="45" t="s">
        <v>16</v>
      </c>
      <c r="T39" s="46"/>
      <c r="U39" s="45" t="s">
        <v>17</v>
      </c>
      <c r="V39" s="46"/>
      <c r="W39" s="45" t="s">
        <v>18</v>
      </c>
      <c r="X39" s="46"/>
      <c r="Y39" s="45" t="s">
        <v>22</v>
      </c>
      <c r="Z39" s="46"/>
      <c r="AA39" s="45" t="s">
        <v>20</v>
      </c>
      <c r="AB39" s="46"/>
    </row>
    <row r="40" spans="1:28" customFormat="1" ht="22.5" customHeight="1" x14ac:dyDescent="0.25">
      <c r="A40" s="58"/>
      <c r="B40" s="58"/>
      <c r="C40" s="58"/>
      <c r="D40" s="58"/>
      <c r="E40" s="6" t="s">
        <v>7</v>
      </c>
      <c r="F40" s="6" t="s">
        <v>8</v>
      </c>
      <c r="G40" s="33" t="s">
        <v>7</v>
      </c>
      <c r="H40" s="33" t="s">
        <v>8</v>
      </c>
      <c r="I40" s="33" t="s">
        <v>7</v>
      </c>
      <c r="J40" s="33" t="s">
        <v>8</v>
      </c>
      <c r="K40" s="33" t="s">
        <v>7</v>
      </c>
      <c r="L40" s="33" t="s">
        <v>8</v>
      </c>
      <c r="M40" s="33" t="s">
        <v>7</v>
      </c>
      <c r="N40" s="33" t="s">
        <v>8</v>
      </c>
      <c r="O40" s="33" t="s">
        <v>7</v>
      </c>
      <c r="P40" s="33" t="s">
        <v>8</v>
      </c>
      <c r="Q40" s="33" t="s">
        <v>7</v>
      </c>
      <c r="R40" s="33" t="s">
        <v>8</v>
      </c>
      <c r="S40" s="33" t="s">
        <v>7</v>
      </c>
      <c r="T40" s="33" t="s">
        <v>8</v>
      </c>
      <c r="U40" s="33" t="s">
        <v>7</v>
      </c>
      <c r="V40" s="33" t="s">
        <v>8</v>
      </c>
      <c r="W40" s="6" t="s">
        <v>7</v>
      </c>
      <c r="X40" s="6" t="s">
        <v>8</v>
      </c>
      <c r="Y40" s="6" t="s">
        <v>7</v>
      </c>
      <c r="Z40" s="6" t="s">
        <v>8</v>
      </c>
      <c r="AA40" s="6" t="s">
        <v>7</v>
      </c>
      <c r="AB40" s="6" t="s">
        <v>8</v>
      </c>
    </row>
    <row r="41" spans="1:28" customFormat="1" ht="37.5" customHeight="1" x14ac:dyDescent="0.25">
      <c r="A41" s="47">
        <v>1</v>
      </c>
      <c r="B41" s="49" t="s">
        <v>38</v>
      </c>
      <c r="C41" s="51" t="s">
        <v>19</v>
      </c>
      <c r="D41" s="26" t="s">
        <v>37</v>
      </c>
      <c r="E41" s="7"/>
      <c r="F41" s="34"/>
      <c r="G41" s="10"/>
      <c r="H41" s="32">
        <v>5</v>
      </c>
      <c r="I41" s="32"/>
      <c r="J41" s="32">
        <v>22</v>
      </c>
      <c r="K41" s="32"/>
      <c r="L41" s="32">
        <v>28</v>
      </c>
      <c r="M41" s="32"/>
      <c r="N41" s="32">
        <v>19</v>
      </c>
      <c r="O41" s="32"/>
      <c r="P41" s="32">
        <v>29</v>
      </c>
      <c r="Q41" s="32"/>
      <c r="R41" s="32">
        <v>17</v>
      </c>
      <c r="S41" s="32"/>
      <c r="T41" s="32">
        <v>2</v>
      </c>
      <c r="U41" s="32"/>
      <c r="V41" s="32">
        <v>3</v>
      </c>
      <c r="W41" s="32"/>
      <c r="X41" s="32">
        <v>2</v>
      </c>
      <c r="Y41" s="7"/>
      <c r="Z41" s="7"/>
      <c r="AA41" s="9">
        <f t="shared" ref="AA41:AA44" si="13">E41+G41+I41+K41+M41+O41+Q41+S41+U41+W41+Y41</f>
        <v>0</v>
      </c>
      <c r="AB41" s="9">
        <f t="shared" ref="AB41:AB44" si="14">SUM(E41:Z41)-AA41</f>
        <v>127</v>
      </c>
    </row>
    <row r="42" spans="1:28" customFormat="1" ht="37.5" customHeight="1" x14ac:dyDescent="0.25">
      <c r="A42" s="48"/>
      <c r="B42" s="50"/>
      <c r="C42" s="52"/>
      <c r="D42" s="26" t="s">
        <v>25</v>
      </c>
      <c r="E42" s="7"/>
      <c r="F42" s="7"/>
      <c r="G42" s="7"/>
      <c r="H42" s="32"/>
      <c r="I42" s="32"/>
      <c r="J42" s="32">
        <v>6</v>
      </c>
      <c r="K42" s="32"/>
      <c r="L42" s="32">
        <v>9</v>
      </c>
      <c r="M42" s="32"/>
      <c r="N42" s="32"/>
      <c r="O42" s="32"/>
      <c r="P42" s="32">
        <v>2</v>
      </c>
      <c r="Q42" s="32"/>
      <c r="R42" s="32">
        <v>2</v>
      </c>
      <c r="S42" s="32"/>
      <c r="T42" s="32">
        <v>1</v>
      </c>
      <c r="U42" s="32"/>
      <c r="V42" s="32"/>
      <c r="W42" s="32"/>
      <c r="X42" s="32"/>
      <c r="Y42" s="7"/>
      <c r="Z42" s="7"/>
      <c r="AA42" s="9">
        <f t="shared" si="13"/>
        <v>0</v>
      </c>
      <c r="AB42" s="9">
        <f t="shared" si="14"/>
        <v>20</v>
      </c>
    </row>
    <row r="43" spans="1:28" customFormat="1" ht="37.5" customHeight="1" x14ac:dyDescent="0.25">
      <c r="A43" s="48"/>
      <c r="B43" s="50"/>
      <c r="C43" s="52"/>
      <c r="D43" s="26" t="s">
        <v>23</v>
      </c>
      <c r="E43" s="7"/>
      <c r="F43" s="7"/>
      <c r="G43" s="7"/>
      <c r="H43" s="32"/>
      <c r="I43" s="32"/>
      <c r="J43" s="32">
        <v>1</v>
      </c>
      <c r="K43" s="32"/>
      <c r="L43" s="32">
        <v>1</v>
      </c>
      <c r="M43" s="32"/>
      <c r="N43" s="32">
        <v>4</v>
      </c>
      <c r="O43" s="32"/>
      <c r="P43" s="32">
        <v>1</v>
      </c>
      <c r="Q43" s="32"/>
      <c r="R43" s="32">
        <v>11</v>
      </c>
      <c r="S43" s="32"/>
      <c r="T43" s="32"/>
      <c r="U43" s="32"/>
      <c r="V43" s="32">
        <v>1</v>
      </c>
      <c r="W43" s="32"/>
      <c r="X43" s="32"/>
      <c r="Y43" s="7"/>
      <c r="Z43" s="7"/>
      <c r="AA43" s="9">
        <f t="shared" si="13"/>
        <v>0</v>
      </c>
      <c r="AB43" s="9">
        <f t="shared" si="14"/>
        <v>19</v>
      </c>
    </row>
    <row r="44" spans="1:28" customFormat="1" ht="37.5" customHeight="1" x14ac:dyDescent="0.25">
      <c r="A44" s="48"/>
      <c r="B44" s="50"/>
      <c r="C44" s="52"/>
      <c r="D44" s="21" t="s">
        <v>24</v>
      </c>
      <c r="E44" s="7"/>
      <c r="F44" s="7"/>
      <c r="G44" s="7"/>
      <c r="H44" s="32"/>
      <c r="I44" s="32"/>
      <c r="J44" s="32">
        <v>1</v>
      </c>
      <c r="K44" s="32"/>
      <c r="L44" s="32">
        <v>3</v>
      </c>
      <c r="M44" s="32"/>
      <c r="N44" s="32">
        <v>2</v>
      </c>
      <c r="O44" s="32"/>
      <c r="P44" s="32">
        <v>8</v>
      </c>
      <c r="Q44" s="32"/>
      <c r="R44" s="32">
        <v>12</v>
      </c>
      <c r="S44" s="32"/>
      <c r="T44" s="32">
        <v>1</v>
      </c>
      <c r="U44" s="32"/>
      <c r="V44" s="32"/>
      <c r="W44" s="32"/>
      <c r="X44" s="32"/>
      <c r="Y44" s="7"/>
      <c r="Z44" s="7"/>
      <c r="AA44" s="9">
        <f t="shared" si="13"/>
        <v>0</v>
      </c>
      <c r="AB44" s="9">
        <f t="shared" si="14"/>
        <v>27</v>
      </c>
    </row>
    <row r="45" spans="1:28" customFormat="1" ht="33.75" hidden="1" customHeight="1" x14ac:dyDescent="0.25">
      <c r="A45" s="13"/>
      <c r="B45" s="14"/>
      <c r="C45" s="15"/>
      <c r="D45" s="26"/>
      <c r="E45" s="7"/>
      <c r="F45" s="7"/>
      <c r="G45" s="7"/>
      <c r="H45" s="7"/>
      <c r="I45" s="7"/>
      <c r="J45" s="8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9">
        <f>E45+G45+I45+K45+M45+O45+Q45+S45+U45+W45+Y45</f>
        <v>0</v>
      </c>
      <c r="AB45" s="9">
        <f>SUM(E45:Z45)-AA45</f>
        <v>0</v>
      </c>
    </row>
    <row r="46" spans="1:28" customFormat="1" ht="26.25" customHeight="1" x14ac:dyDescent="0.25">
      <c r="A46" s="53" t="s">
        <v>1</v>
      </c>
      <c r="B46" s="54"/>
      <c r="C46" s="54"/>
      <c r="D46" s="55"/>
      <c r="E46" s="27">
        <f t="shared" ref="E46" si="15">SUM(E41:E45)</f>
        <v>0</v>
      </c>
      <c r="F46" s="27">
        <f t="shared" ref="F46" si="16">SUM(F41:F45)</f>
        <v>0</v>
      </c>
      <c r="G46" s="27">
        <f t="shared" ref="G46" si="17">SUM(G41:G45)</f>
        <v>0</v>
      </c>
      <c r="H46" s="27">
        <f t="shared" ref="H46" si="18">SUM(H41:H45)</f>
        <v>5</v>
      </c>
      <c r="I46" s="27">
        <f t="shared" ref="I46" si="19">SUM(I41:I45)</f>
        <v>0</v>
      </c>
      <c r="J46" s="27">
        <f t="shared" ref="J46" si="20">SUM(J41:J45)</f>
        <v>30</v>
      </c>
      <c r="K46" s="27">
        <f t="shared" ref="K46" si="21">SUM(K41:K45)</f>
        <v>0</v>
      </c>
      <c r="L46" s="27">
        <f t="shared" ref="L46" si="22">SUM(L41:L45)</f>
        <v>41</v>
      </c>
      <c r="M46" s="27">
        <f t="shared" ref="M46" si="23">SUM(M41:M45)</f>
        <v>0</v>
      </c>
      <c r="N46" s="27">
        <f t="shared" ref="N46" si="24">SUM(N41:N45)</f>
        <v>25</v>
      </c>
      <c r="O46" s="27">
        <f t="shared" ref="O46" si="25">SUM(O41:O45)</f>
        <v>0</v>
      </c>
      <c r="P46" s="27">
        <f t="shared" ref="P46" si="26">SUM(P41:P45)</f>
        <v>40</v>
      </c>
      <c r="Q46" s="27">
        <f t="shared" ref="Q46" si="27">SUM(Q41:Q45)</f>
        <v>0</v>
      </c>
      <c r="R46" s="27">
        <f t="shared" ref="R46" si="28">SUM(R41:R45)</f>
        <v>42</v>
      </c>
      <c r="S46" s="27">
        <f t="shared" ref="S46" si="29">SUM(S41:S45)</f>
        <v>0</v>
      </c>
      <c r="T46" s="27">
        <f t="shared" ref="T46" si="30">SUM(T41:T45)</f>
        <v>4</v>
      </c>
      <c r="U46" s="27">
        <f t="shared" ref="U46" si="31">SUM(U41:U45)</f>
        <v>0</v>
      </c>
      <c r="V46" s="27">
        <f t="shared" ref="V46" si="32">SUM(V41:V45)</f>
        <v>4</v>
      </c>
      <c r="W46" s="27">
        <f t="shared" ref="W46" si="33">SUM(W41:W45)</f>
        <v>0</v>
      </c>
      <c r="X46" s="27">
        <f t="shared" ref="X46" si="34">SUM(X41:X45)</f>
        <v>2</v>
      </c>
      <c r="Y46" s="27">
        <f t="shared" ref="Y46" si="35">SUM(Y41:Y45)</f>
        <v>0</v>
      </c>
      <c r="Z46" s="27">
        <f t="shared" ref="Z46" si="36">SUM(Z41:Z45)</f>
        <v>0</v>
      </c>
      <c r="AA46" s="16">
        <f t="shared" ref="AA46" si="37">SUM(AA41:AA45)</f>
        <v>0</v>
      </c>
      <c r="AB46" s="16">
        <f t="shared" ref="AB46" si="38">SUM(AB41:AB45)</f>
        <v>193</v>
      </c>
    </row>
    <row r="47" spans="1:28" customFormat="1" x14ac:dyDescent="0.25"/>
    <row r="48" spans="1:28" customFormat="1" ht="30" customHeight="1" x14ac:dyDescent="0.25">
      <c r="A48" s="66" t="s">
        <v>41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</row>
    <row r="49" spans="1:28" customFormat="1" ht="22.5" customHeight="1" x14ac:dyDescent="0.25">
      <c r="A49" s="62" t="s">
        <v>0</v>
      </c>
      <c r="B49" s="62" t="s">
        <v>5</v>
      </c>
      <c r="C49" s="62" t="s">
        <v>4</v>
      </c>
      <c r="D49" s="62" t="s">
        <v>21</v>
      </c>
      <c r="E49" s="62" t="s">
        <v>9</v>
      </c>
      <c r="F49" s="62"/>
      <c r="G49" s="62" t="s">
        <v>10</v>
      </c>
      <c r="H49" s="62"/>
      <c r="I49" s="62" t="s">
        <v>11</v>
      </c>
      <c r="J49" s="62"/>
      <c r="K49" s="62" t="s">
        <v>12</v>
      </c>
      <c r="L49" s="62"/>
      <c r="M49" s="62" t="s">
        <v>13</v>
      </c>
      <c r="N49" s="62"/>
      <c r="O49" s="62" t="s">
        <v>14</v>
      </c>
      <c r="P49" s="62"/>
      <c r="Q49" s="62" t="s">
        <v>15</v>
      </c>
      <c r="R49" s="62"/>
      <c r="S49" s="62" t="s">
        <v>16</v>
      </c>
      <c r="T49" s="62"/>
      <c r="U49" s="62" t="s">
        <v>17</v>
      </c>
      <c r="V49" s="62"/>
      <c r="W49" s="62" t="s">
        <v>18</v>
      </c>
      <c r="X49" s="62"/>
      <c r="Y49" s="62" t="s">
        <v>22</v>
      </c>
      <c r="Z49" s="62"/>
      <c r="AA49" s="62" t="s">
        <v>20</v>
      </c>
      <c r="AB49" s="62"/>
    </row>
    <row r="50" spans="1:28" customFormat="1" ht="22.5" customHeight="1" x14ac:dyDescent="0.25">
      <c r="A50" s="62"/>
      <c r="B50" s="62"/>
      <c r="C50" s="62"/>
      <c r="D50" s="62"/>
      <c r="E50" s="6" t="s">
        <v>7</v>
      </c>
      <c r="F50" s="6" t="s">
        <v>8</v>
      </c>
      <c r="G50" s="6" t="s">
        <v>7</v>
      </c>
      <c r="H50" s="6" t="s">
        <v>8</v>
      </c>
      <c r="I50" s="6" t="s">
        <v>7</v>
      </c>
      <c r="J50" s="6" t="s">
        <v>8</v>
      </c>
      <c r="K50" s="6" t="s">
        <v>7</v>
      </c>
      <c r="L50" s="6" t="s">
        <v>8</v>
      </c>
      <c r="M50" s="6" t="s">
        <v>7</v>
      </c>
      <c r="N50" s="6" t="s">
        <v>8</v>
      </c>
      <c r="O50" s="6" t="s">
        <v>7</v>
      </c>
      <c r="P50" s="6" t="s">
        <v>8</v>
      </c>
      <c r="Q50" s="6" t="s">
        <v>7</v>
      </c>
      <c r="R50" s="6" t="s">
        <v>8</v>
      </c>
      <c r="S50" s="6" t="s">
        <v>7</v>
      </c>
      <c r="T50" s="6" t="s">
        <v>8</v>
      </c>
      <c r="U50" s="6" t="s">
        <v>7</v>
      </c>
      <c r="V50" s="6" t="s">
        <v>8</v>
      </c>
      <c r="W50" s="6" t="s">
        <v>7</v>
      </c>
      <c r="X50" s="6" t="s">
        <v>8</v>
      </c>
      <c r="Y50" s="6" t="s">
        <v>7</v>
      </c>
      <c r="Z50" s="6" t="s">
        <v>8</v>
      </c>
      <c r="AA50" s="6" t="s">
        <v>7</v>
      </c>
      <c r="AB50" s="6" t="s">
        <v>8</v>
      </c>
    </row>
    <row r="51" spans="1:28" customFormat="1" ht="37.5" customHeight="1" x14ac:dyDescent="0.25">
      <c r="A51" s="47">
        <v>1</v>
      </c>
      <c r="B51" s="49" t="s">
        <v>42</v>
      </c>
      <c r="C51" s="51" t="s">
        <v>19</v>
      </c>
      <c r="D51" s="29" t="s">
        <v>37</v>
      </c>
      <c r="E51" s="7"/>
      <c r="F51" s="7"/>
      <c r="G51" s="7"/>
      <c r="H51" s="7"/>
      <c r="I51" s="8"/>
      <c r="J51" s="8"/>
      <c r="K51" s="8"/>
      <c r="L51" s="8">
        <v>1</v>
      </c>
      <c r="M51" s="11"/>
      <c r="N51" s="11"/>
      <c r="O51" s="11"/>
      <c r="P51" s="11"/>
      <c r="Q51" s="11"/>
      <c r="R51" s="11"/>
      <c r="S51" s="11"/>
      <c r="T51" s="11"/>
      <c r="U51" s="8"/>
      <c r="V51" s="8"/>
      <c r="W51" s="8"/>
      <c r="X51" s="8"/>
      <c r="Y51" s="7"/>
      <c r="Z51" s="7"/>
      <c r="AA51" s="9">
        <f t="shared" ref="AA51:AA52" si="39">E51+G51+I51+K51+M51+O51+Q51+S51+U51+W51+Y51</f>
        <v>0</v>
      </c>
      <c r="AB51" s="9">
        <f t="shared" ref="AB51:AB52" si="40">SUM(E51:Z51)-AA51</f>
        <v>1</v>
      </c>
    </row>
    <row r="52" spans="1:28" customFormat="1" ht="37.5" customHeight="1" x14ac:dyDescent="0.25">
      <c r="A52" s="61"/>
      <c r="B52" s="60"/>
      <c r="C52" s="59"/>
      <c r="D52" s="29" t="s">
        <v>25</v>
      </c>
      <c r="E52" s="7"/>
      <c r="F52" s="7"/>
      <c r="G52" s="7"/>
      <c r="H52" s="7"/>
      <c r="I52" s="8"/>
      <c r="J52" s="8"/>
      <c r="K52" s="8"/>
      <c r="L52" s="8"/>
      <c r="M52" s="11"/>
      <c r="N52" s="11"/>
      <c r="O52" s="11">
        <v>2</v>
      </c>
      <c r="P52" s="11"/>
      <c r="Q52" s="11"/>
      <c r="R52" s="11"/>
      <c r="S52" s="11"/>
      <c r="T52" s="11"/>
      <c r="U52" s="8"/>
      <c r="V52" s="8"/>
      <c r="W52" s="8"/>
      <c r="X52" s="8"/>
      <c r="Y52" s="7"/>
      <c r="Z52" s="7"/>
      <c r="AA52" s="9">
        <f t="shared" si="39"/>
        <v>2</v>
      </c>
      <c r="AB52" s="9">
        <f t="shared" si="40"/>
        <v>0</v>
      </c>
    </row>
    <row r="53" spans="1:28" customFormat="1" ht="33.75" hidden="1" customHeight="1" x14ac:dyDescent="0.25">
      <c r="A53" s="13"/>
      <c r="B53" s="14"/>
      <c r="C53" s="15"/>
      <c r="D53" s="29"/>
      <c r="E53" s="7"/>
      <c r="F53" s="7"/>
      <c r="G53" s="7"/>
      <c r="H53" s="7"/>
      <c r="I53" s="7"/>
      <c r="J53" s="8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9">
        <f>E53+G53+I53+K53+M53+O53+Q53+S53+U53+W53+Y53</f>
        <v>0</v>
      </c>
      <c r="AB53" s="9">
        <f>SUM(E53:Z53)-AA53</f>
        <v>0</v>
      </c>
    </row>
    <row r="54" spans="1:28" customFormat="1" ht="26.25" customHeight="1" x14ac:dyDescent="0.25">
      <c r="A54" s="53" t="s">
        <v>1</v>
      </c>
      <c r="B54" s="54"/>
      <c r="C54" s="54"/>
      <c r="D54" s="55"/>
      <c r="E54" s="28">
        <f t="shared" ref="E54:AB54" si="41">SUM(E51:E53)</f>
        <v>0</v>
      </c>
      <c r="F54" s="28">
        <f t="shared" si="41"/>
        <v>0</v>
      </c>
      <c r="G54" s="28">
        <f t="shared" si="41"/>
        <v>0</v>
      </c>
      <c r="H54" s="28">
        <f t="shared" si="41"/>
        <v>0</v>
      </c>
      <c r="I54" s="28">
        <f t="shared" si="41"/>
        <v>0</v>
      </c>
      <c r="J54" s="28">
        <f t="shared" si="41"/>
        <v>0</v>
      </c>
      <c r="K54" s="28">
        <f t="shared" si="41"/>
        <v>0</v>
      </c>
      <c r="L54" s="28">
        <f t="shared" si="41"/>
        <v>1</v>
      </c>
      <c r="M54" s="28">
        <f t="shared" si="41"/>
        <v>0</v>
      </c>
      <c r="N54" s="28">
        <f t="shared" si="41"/>
        <v>0</v>
      </c>
      <c r="O54" s="28">
        <f t="shared" si="41"/>
        <v>2</v>
      </c>
      <c r="P54" s="28">
        <f t="shared" si="41"/>
        <v>0</v>
      </c>
      <c r="Q54" s="28">
        <f t="shared" si="41"/>
        <v>0</v>
      </c>
      <c r="R54" s="28">
        <f t="shared" si="41"/>
        <v>0</v>
      </c>
      <c r="S54" s="28">
        <f t="shared" si="41"/>
        <v>0</v>
      </c>
      <c r="T54" s="28">
        <f t="shared" si="41"/>
        <v>0</v>
      </c>
      <c r="U54" s="28">
        <f t="shared" si="41"/>
        <v>0</v>
      </c>
      <c r="V54" s="28">
        <f t="shared" si="41"/>
        <v>0</v>
      </c>
      <c r="W54" s="28">
        <f t="shared" si="41"/>
        <v>0</v>
      </c>
      <c r="X54" s="28">
        <f t="shared" si="41"/>
        <v>0</v>
      </c>
      <c r="Y54" s="28">
        <f t="shared" si="41"/>
        <v>0</v>
      </c>
      <c r="Z54" s="28">
        <f t="shared" si="41"/>
        <v>0</v>
      </c>
      <c r="AA54" s="16">
        <f t="shared" si="41"/>
        <v>2</v>
      </c>
      <c r="AB54" s="16">
        <f t="shared" si="41"/>
        <v>1</v>
      </c>
    </row>
    <row r="56" spans="1:28" ht="15" customHeight="1" x14ac:dyDescent="0.25">
      <c r="C56" s="65" t="s">
        <v>2</v>
      </c>
      <c r="D56" s="65"/>
      <c r="E56" s="3"/>
      <c r="F56" s="3"/>
      <c r="G56" s="3"/>
      <c r="H56" s="3"/>
      <c r="I56" s="3"/>
      <c r="J56" s="3"/>
      <c r="K56" s="3"/>
      <c r="L56" s="3"/>
      <c r="M56" s="4"/>
      <c r="N56" s="3"/>
      <c r="P56" s="3"/>
      <c r="R56" s="3"/>
      <c r="S56" s="3" t="s">
        <v>3</v>
      </c>
      <c r="T56" s="3"/>
      <c r="U56" s="3"/>
      <c r="V56" s="3"/>
      <c r="W56" s="3"/>
      <c r="X56" s="3"/>
      <c r="Y56" s="3"/>
      <c r="Z56" s="3"/>
      <c r="AA56" s="3"/>
      <c r="AB56" s="3"/>
    </row>
  </sheetData>
  <autoFilter ref="A8:AB17" xr:uid="{00000000-0001-0000-0000-000000000000}"/>
  <mergeCells count="110">
    <mergeCell ref="AA49:AB49"/>
    <mergeCell ref="A51:A52"/>
    <mergeCell ref="B51:B52"/>
    <mergeCell ref="C51:C52"/>
    <mergeCell ref="A54:D54"/>
    <mergeCell ref="A48:AB48"/>
    <mergeCell ref="A49:A50"/>
    <mergeCell ref="B49:B50"/>
    <mergeCell ref="C49:C50"/>
    <mergeCell ref="D49:D50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1:AB1"/>
    <mergeCell ref="C56:D56"/>
    <mergeCell ref="A19:AB19"/>
    <mergeCell ref="C20:C21"/>
    <mergeCell ref="D20:D21"/>
    <mergeCell ref="E20:F20"/>
    <mergeCell ref="G20:H20"/>
    <mergeCell ref="I20:J20"/>
    <mergeCell ref="K20:L20"/>
    <mergeCell ref="M20:N20"/>
    <mergeCell ref="M7:N7"/>
    <mergeCell ref="O7:P7"/>
    <mergeCell ref="Q7:R7"/>
    <mergeCell ref="S7:T7"/>
    <mergeCell ref="A7:A8"/>
    <mergeCell ref="A17:D17"/>
    <mergeCell ref="Y20:Z20"/>
    <mergeCell ref="AA20:AB20"/>
    <mergeCell ref="A26:D26"/>
    <mergeCell ref="C7:C8"/>
    <mergeCell ref="K7:L7"/>
    <mergeCell ref="D7:D8"/>
    <mergeCell ref="E7:F7"/>
    <mergeCell ref="G7:H7"/>
    <mergeCell ref="I7:J7"/>
    <mergeCell ref="B7:B8"/>
    <mergeCell ref="C13:C15"/>
    <mergeCell ref="B12:B15"/>
    <mergeCell ref="A12:A15"/>
    <mergeCell ref="O20:P20"/>
    <mergeCell ref="Q20:R20"/>
    <mergeCell ref="S20:T20"/>
    <mergeCell ref="U20:V20"/>
    <mergeCell ref="W20:X20"/>
    <mergeCell ref="A6:AB6"/>
    <mergeCell ref="W7:X7"/>
    <mergeCell ref="Y7:Z7"/>
    <mergeCell ref="AA7:AB7"/>
    <mergeCell ref="U7:V7"/>
    <mergeCell ref="C22:C24"/>
    <mergeCell ref="C9:C10"/>
    <mergeCell ref="B9:B10"/>
    <mergeCell ref="A9:A10"/>
    <mergeCell ref="B22:B24"/>
    <mergeCell ref="A22:A24"/>
    <mergeCell ref="A20:A21"/>
    <mergeCell ref="B20:B21"/>
    <mergeCell ref="A28:AB28"/>
    <mergeCell ref="A29:A30"/>
    <mergeCell ref="B29:B30"/>
    <mergeCell ref="C29:C30"/>
    <mergeCell ref="D29:D30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31:A34"/>
    <mergeCell ref="B31:B34"/>
    <mergeCell ref="C31:C34"/>
    <mergeCell ref="A36:D36"/>
    <mergeCell ref="A38:AB38"/>
    <mergeCell ref="A39:A40"/>
    <mergeCell ref="B39:B40"/>
    <mergeCell ref="C39:C40"/>
    <mergeCell ref="D39:D40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41:A44"/>
    <mergeCell ref="B41:B44"/>
    <mergeCell ref="C41:C44"/>
    <mergeCell ref="A46:D46"/>
  </mergeCells>
  <pageMargins left="0.23622047244094499" right="0.15748031496063" top="0.17" bottom="0.36" header="0.15748031496063" footer="0.15748031496063"/>
  <pageSetup paperSize="9" orientation="landscape" r:id="rId1"/>
  <headerFooter>
    <oddFooter>Page &amp;P</oddFooter>
  </headerFooter>
  <rowBreaks count="2" manualBreakCount="2">
    <brk id="18" max="27" man="1"/>
    <brk id="37" max="2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T15" sqref="T1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Administrator</cp:lastModifiedBy>
  <cp:lastPrinted>2025-11-21T03:02:22Z</cp:lastPrinted>
  <dcterms:created xsi:type="dcterms:W3CDTF">2019-05-06T03:19:23Z</dcterms:created>
  <dcterms:modified xsi:type="dcterms:W3CDTF">2025-11-21T03:02:24Z</dcterms:modified>
</cp:coreProperties>
</file>